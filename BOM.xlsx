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u.in/product/2804-140kv-gimbal-brushless-motor-2-axis-camera/" TargetMode="External" Id="rId1"/><Relationship Type="http://schemas.openxmlformats.org/officeDocument/2006/relationships/hyperlink" Target="https://robosap.in/product/simplefocmini-brushless-dc-motor-driver-board-module-foc-control-driver-svpwm-spwm-control-algorithm/" TargetMode="External" Id="rId2"/><Relationship Type="http://schemas.openxmlformats.org/officeDocument/2006/relationships/hyperlink" Target="https://www.amazon.in/s?k=AS5600+magnetic+encoder+with+magnet" TargetMode="External" Id="rId3"/><Relationship Type="http://schemas.openxmlformats.org/officeDocument/2006/relationships/hyperlink" Target="https://probots.co.in/mpu6050-6dof-imu-sensor-module-gyroscope-accelerometer-gy521.html" TargetMode="External" Id="rId4"/><Relationship Type="http://schemas.openxmlformats.org/officeDocument/2006/relationships/hyperlink" Target="https://www.amazon.in/s?k=ESP32-S3+SuperMini" TargetMode="External" Id="rId5"/><Relationship Type="http://schemas.openxmlformats.org/officeDocument/2006/relationships/hyperlink" Target="https://www.amazon.com/Switching-Module-TPS61088-Adjustable-Step-up/dp/B0DCBTTJ88" TargetMode="External" Id="rId6"/><Relationship Type="http://schemas.openxmlformats.org/officeDocument/2006/relationships/hyperlink" Target="https://robu.in/?p=1121356" TargetMode="External" Id="rId7"/><Relationship Type="http://schemas.openxmlformats.org/officeDocument/2006/relationships/hyperlink" Target="https://robu.in/?p=835842" TargetMode="External" Id="rId8"/><Relationship Type="http://schemas.openxmlformats.org/officeDocument/2006/relationships/hyperlink" Target="https://aws.robu.in/?p=63398" TargetMode="External" Id="rId9"/><Relationship Type="http://schemas.openxmlformats.org/officeDocument/2006/relationships/hyperlink" Target="https://robu.in/?s=KCD11+rocker+switch" TargetMode="External" Id="rId10"/><Relationship Type="http://schemas.openxmlformats.org/officeDocument/2006/relationships/hyperlink" Target="https://robu.in/?s=MF-R300" TargetMode="External" Id="rId11"/><Relationship Type="http://schemas.openxmlformats.org/officeDocument/2006/relationships/hyperlink" Target="https://robu.in/?s=1N5819" TargetMode="External" Id="rId12"/><Relationship Type="http://schemas.openxmlformats.org/officeDocument/2006/relationships/hyperlink" Target="https://robu.in/?s=220uF+25V+capacitor" TargetMode="External" Id="rId13"/><Relationship Type="http://schemas.openxmlformats.org/officeDocument/2006/relationships/hyperlink" Target="https://robu.in/?s=100uF+16V+capacitor" TargetMode="External" Id="rId14"/><Relationship Type="http://schemas.openxmlformats.org/officeDocument/2006/relationships/hyperlink" Target="https://robu.in/?s=100k+resistor" TargetMode="External" Id="rId15"/><Relationship Type="http://schemas.openxmlformats.org/officeDocument/2006/relationships/hyperlink" Target="https://robu.in/?s=10k+resistor" TargetMode="External" Id="rId16"/><Relationship Type="http://schemas.openxmlformats.org/officeDocument/2006/relationships/hyperlink" Target="https://robu.in/?s=4.7k+resistor" TargetMode="External" Id="rId17"/><Relationship Type="http://schemas.openxmlformats.org/officeDocument/2006/relationships/hyperlink" Target="https://robu.in/?s=330+ohm+resistor" TargetMode="External" Id="rId18"/><Relationship Type="http://schemas.openxmlformats.org/officeDocument/2006/relationships/hyperlink" Target="https://robu.in/?s=10nF+ceramic+capacitor" TargetMode="External" Id="rId19"/><Relationship Type="http://schemas.openxmlformats.org/officeDocument/2006/relationships/hyperlink" Target="https://robu.in/?s=3mm+green+LED" TargetMode="External" Id="rId20"/><Relationship Type="http://schemas.openxmlformats.org/officeDocument/2006/relationships/hyperlink" Target="https://robu.in/?s=6x6x5+tactile+switch" TargetMode="External" Id="rId21"/><Relationship Type="http://schemas.openxmlformats.org/officeDocument/2006/relationships/hyperlink" Target="https://robu.in/?s=perfboard" TargetMode="External" Id="rId22"/><Relationship Type="http://schemas.openxmlformats.org/officeDocument/2006/relationships/hyperlink" Target="https://aws.robu.in/?p=2309235" TargetMode="External" Id="rId23"/><Relationship Type="http://schemas.openxmlformats.org/officeDocument/2006/relationships/hyperlink" Target="https://www.amazon.in/s?k=M2+screw+assortment+box" TargetMode="External" Id="rId24"/><Relationship Type="http://schemas.openxmlformats.org/officeDocument/2006/relationships/hyperlink" Target="https://www.amazon.in/s?k=M3+thumb+screw+nylon" TargetMode="External" Id="rId25"/><Relationship Type="http://schemas.openxmlformats.org/officeDocument/2006/relationships/hyperlink" Target="https://www.amazon.in/s?k=silicone+wire+24AWG" TargetMode="External" Id="rId26"/><Relationship Type="http://schemas.openxmlformats.org/officeDocument/2006/relationships/hyperlink" Target="https://www.amazon.in/s?k=PETG+filament+1.7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52" customWidth="1" min="4" max="4"/>
    <col width="5" customWidth="1" min="5" max="5"/>
    <col width="10" customWidth="1" min="6" max="6"/>
    <col width="9" customWidth="1" min="7" max="7"/>
    <col width="13" customWidth="1" min="8" max="8"/>
    <col width="18" customWidth="1" min="9" max="9"/>
    <col width="40" customWidth="1" min="10" max="10"/>
    <col width="60" customWidth="1" min="11" max="11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Refs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Unit ₹ (incl. GST)</t>
        </is>
      </c>
      <c r="G1" s="1" t="inlineStr">
        <is>
          <t>Total ₹</t>
        </is>
      </c>
      <c r="H1" s="1" t="inlineStr">
        <is>
          <t>Price checked</t>
        </is>
      </c>
      <c r="I1" s="1" t="inlineStr">
        <is>
          <t>Source</t>
        </is>
      </c>
      <c r="J1" s="1" t="inlineStr">
        <is>
          <t>Link</t>
        </is>
      </c>
      <c r="K1" s="1" t="inlineStr">
        <is>
          <t>Notes</t>
        </is>
      </c>
    </row>
    <row r="2">
      <c r="A2" s="2" t="n">
        <v>1</v>
      </c>
      <c r="B2" s="2" t="inlineStr">
        <is>
          <t>Actuation</t>
        </is>
      </c>
      <c r="C2" s="2" t="inlineStr">
        <is>
          <t>M1, M2</t>
        </is>
      </c>
      <c r="D2" s="2" t="inlineStr">
        <is>
          <t>2804 140KV brushless gimbal motor (12N14P, ~35 x 14 mm, ~40 g)</t>
        </is>
      </c>
      <c r="E2" s="2" t="n">
        <v>2</v>
      </c>
      <c r="F2" s="2" t="n">
        <v>1269</v>
      </c>
      <c r="G2" s="2">
        <f>E2*F2</f>
        <v/>
      </c>
      <c r="H2" s="2" t="inlineStr">
        <is>
          <t>yes</t>
        </is>
      </c>
      <c r="I2" s="2" t="inlineStr">
        <is>
          <t>Robu</t>
        </is>
      </c>
      <c r="J2" s="3" t="inlineStr">
        <is>
          <t>https://robu.in/product/2804-140kv-gimbal-brushless-motor-2-axis-camera/</t>
        </is>
      </c>
      <c r="K2" s="2" t="inlineStr">
        <is>
          <t>The firmware checks it is 7 pole pairs (12N14P). Measure the resistance between two wires and type 'R &lt;reading&gt;'. Before printing, check: bell dia &lt;= 35 mm, height 13-15 mm, M2/M2.5 base holes on an 11-21 mm circle.</t>
        </is>
      </c>
    </row>
    <row r="3">
      <c r="A3" s="2" t="n">
        <v>2</v>
      </c>
      <c r="B3" s="2" t="inlineStr">
        <is>
          <t>Actuation</t>
        </is>
      </c>
      <c r="C3" s="2" t="inlineStr">
        <is>
          <t>U2, U3</t>
        </is>
      </c>
      <c r="D3" s="2" t="inlineStr">
        <is>
          <t>SimpleFOC Mini DRV8313 BLDC driver (8-30 V, 2.5 A)</t>
        </is>
      </c>
      <c r="E3" s="2" t="n">
        <v>2</v>
      </c>
      <c r="F3" s="2" t="n">
        <v>696</v>
      </c>
      <c r="G3" s="2">
        <f>E3*F3</f>
        <v/>
      </c>
      <c r="H3" s="2" t="inlineStr">
        <is>
          <t>yes</t>
        </is>
      </c>
      <c r="I3" s="2" t="inlineStr">
        <is>
          <t>Robosap</t>
        </is>
      </c>
      <c r="J3" s="3" t="inlineStr">
        <is>
          <t>https://robosap.in/product/simplefocmini-brushless-dc-motor-driver-board-module-foc-control-driver-svpwm-spwm-control-algorithm/</t>
        </is>
      </c>
      <c r="K3" s="2" t="inlineStr">
        <is>
          <t>Wire by the silkscreen labels (v1.0 and v1.1 header order differ). Alt: Amazon.in / Elecrow.</t>
        </is>
      </c>
    </row>
    <row r="4">
      <c r="A4" s="2" t="n">
        <v>3</v>
      </c>
      <c r="B4" s="2" t="inlineStr">
        <is>
          <t>Sensing</t>
        </is>
      </c>
      <c r="C4" s="2" t="inlineStr">
        <is>
          <t>U5, U6</t>
        </is>
      </c>
      <c r="D4" s="2" t="inlineStr">
        <is>
          <t>AS5600 magnetic encoder module WITH diametric 6 x 2.5 mm magnet</t>
        </is>
      </c>
      <c r="E4" s="2" t="n">
        <v>2</v>
      </c>
      <c r="F4" s="2" t="n">
        <v>149</v>
      </c>
      <c r="G4" s="2">
        <f>E4*F4</f>
        <v/>
      </c>
      <c r="H4" s="2" t="inlineStr">
        <is>
          <t>yes (was out of stock)</t>
        </is>
      </c>
      <c r="I4" s="2" t="inlineStr">
        <is>
          <t>Robu / Amazon.in</t>
        </is>
      </c>
      <c r="J4" s="3" t="inlineStr">
        <is>
          <t>https://www.amazon.in/s?k=AS5600+magnetic+encoder+with+magnet</t>
        </is>
      </c>
      <c r="K4" s="2" t="inlineStr">
        <is>
          <t>Magnet MUST be diametrically magnetised (the one supplied with the module is). If Robu is out of stock, Amazon.in ~Rs 180-250.</t>
        </is>
      </c>
    </row>
    <row r="5">
      <c r="A5" s="2" t="n">
        <v>4</v>
      </c>
      <c r="B5" s="2" t="inlineStr">
        <is>
          <t>Sensing</t>
        </is>
      </c>
      <c r="C5" s="2" t="inlineStr">
        <is>
          <t>U4</t>
        </is>
      </c>
      <c r="D5" s="2" t="inlineStr">
        <is>
          <t>GY-521 MPU6050 6-axis IMU module</t>
        </is>
      </c>
      <c r="E5" s="2" t="n">
        <v>1</v>
      </c>
      <c r="F5" s="2" t="n">
        <v>199</v>
      </c>
      <c r="G5" s="2">
        <f>E5*F5</f>
        <v/>
      </c>
      <c r="H5" s="2" t="inlineStr">
        <is>
          <t>yes</t>
        </is>
      </c>
      <c r="I5" s="2" t="inlineStr">
        <is>
          <t>Probots</t>
        </is>
      </c>
      <c r="J5" s="3" t="inlineStr">
        <is>
          <t>https://probots.co.in/mpu6050-6dof-imu-sensor-module-gyroscope-accelerometer-gy521.html</t>
        </is>
      </c>
      <c r="K5" s="2" t="inlineStr">
        <is>
          <t>MPU6500-based clones also work.</t>
        </is>
      </c>
    </row>
    <row r="6">
      <c r="A6" s="2" t="n">
        <v>5</v>
      </c>
      <c r="B6" s="2" t="inlineStr">
        <is>
          <t>Control</t>
        </is>
      </c>
      <c r="C6" s="2" t="inlineStr">
        <is>
          <t>U1</t>
        </is>
      </c>
      <c r="D6" s="2" t="inlineStr">
        <is>
          <t>ESP32-S3 SuperMini (ESP32-S3, USB-C, 4 MB flash)</t>
        </is>
      </c>
      <c r="E6" s="2" t="n">
        <v>1</v>
      </c>
      <c r="F6" s="2" t="n">
        <v>450</v>
      </c>
      <c r="G6" s="2">
        <f>E6*F6</f>
        <v/>
      </c>
      <c r="H6" s="2" t="inlineStr">
        <is>
          <t>approx.</t>
        </is>
      </c>
      <c r="I6" s="2" t="inlineStr">
        <is>
          <t>Makerbazar / Amazon.in</t>
        </is>
      </c>
      <c r="J6" s="3" t="inlineStr">
        <is>
          <t>https://www.amazon.in/s?k=ESP32-S3+SuperMini</t>
        </is>
      </c>
      <c r="K6" s="2" t="inlineStr">
        <is>
          <t>Must be the S3 (not C3/C6): the firmware needs its two I2C buses, FPU and 6 motor PWM channels.</t>
        </is>
      </c>
    </row>
    <row r="7">
      <c r="A7" s="2" t="n">
        <v>6</v>
      </c>
      <c r="B7" s="2" t="inlineStr">
        <is>
          <t>Power</t>
        </is>
      </c>
      <c r="C7" s="2" t="inlineStr">
        <is>
          <t>U7</t>
        </is>
      </c>
      <c r="D7" s="2" t="inlineStr">
        <is>
          <t>TPS61088 boost module 10A 1MHz with 5V/9V/12V SOLDER PADS (order the 12V version)</t>
        </is>
      </c>
      <c r="E7" s="2" t="n">
        <v>2</v>
      </c>
      <c r="F7" s="2" t="n">
        <v>350</v>
      </c>
      <c r="G7" s="2">
        <f>E7*F7</f>
        <v/>
      </c>
      <c r="H7" s="2" t="inlineStr">
        <is>
          <t>approx.</t>
        </is>
      </c>
      <c r="I7" s="2" t="inlineStr">
        <is>
          <t>Amazon (ships to India) / AliExpress</t>
        </is>
      </c>
      <c r="J7" s="3" t="inlineStr">
        <is>
          <t>https://www.amazon.com/Switching-Module-TPS61088-Adjustable-Step-up/dp/B0DCBTTJ88</t>
        </is>
      </c>
      <c r="K7" s="2" t="inlineStr">
        <is>
          <t>Board ~40 x 21 mm with pads marked 5V 9V 12V (ADJ, PWM) and NO USB socket. Indian shops mostly sell the QC fast-charge TPS61088 board with a USB-A socket - that one is WRONG (it outputs 5 V). Order 2 (spare).</t>
        </is>
      </c>
    </row>
    <row r="8">
      <c r="A8" s="2" t="n">
        <v>7</v>
      </c>
      <c r="B8" s="2" t="inlineStr">
        <is>
          <t>Power</t>
        </is>
      </c>
      <c r="C8" s="2" t="inlineStr">
        <is>
          <t>U9</t>
        </is>
      </c>
      <c r="D8" s="2" t="inlineStr">
        <is>
          <t>MINI560 step-down module, fixed 5 V</t>
        </is>
      </c>
      <c r="E8" s="2" t="n">
        <v>1</v>
      </c>
      <c r="F8" s="2" t="n">
        <v>120</v>
      </c>
      <c r="G8" s="2">
        <f>E8*F8</f>
        <v/>
      </c>
      <c r="H8" s="2" t="inlineStr">
        <is>
          <t>approx.</t>
        </is>
      </c>
      <c r="I8" s="2" t="inlineStr">
        <is>
          <t>Robu</t>
        </is>
      </c>
      <c r="J8" s="3" t="inlineStr">
        <is>
          <t>https://robu.in/?p=1121356</t>
        </is>
      </c>
      <c r="K8" s="2" t="inlineStr">
        <is>
          <t>29 x 18 mm. Input 7-20 V, output 5 V. Check the output is 5.0 V before connecting the ESP32.</t>
        </is>
      </c>
    </row>
    <row r="9">
      <c r="A9" s="2" t="n">
        <v>8</v>
      </c>
      <c r="B9" s="2" t="inlineStr">
        <is>
          <t>Power</t>
        </is>
      </c>
      <c r="C9" s="2" t="inlineStr">
        <is>
          <t>U8</t>
        </is>
      </c>
      <c r="D9" s="2" t="inlineStr">
        <is>
          <t>TP4056 1 A charger with DW01A protection, Type-C</t>
        </is>
      </c>
      <c r="E9" s="2" t="n">
        <v>1</v>
      </c>
      <c r="F9" s="2" t="n">
        <v>30</v>
      </c>
      <c r="G9" s="2">
        <f>E9*F9</f>
        <v/>
      </c>
      <c r="H9" s="2" t="inlineStr">
        <is>
          <t>yes</t>
        </is>
      </c>
      <c r="I9" s="2" t="inlineStr">
        <is>
          <t>Robu</t>
        </is>
      </c>
      <c r="J9" s="3" t="inlineStr">
        <is>
          <t>https://robu.in/?p=835842</t>
        </is>
      </c>
      <c r="K9" s="2" t="inlineStr">
        <is>
          <t>Amazon.in 10-pack ~Rs 198. Load on OUT+/OUT-. Its USB-C is the charging port.</t>
        </is>
      </c>
    </row>
    <row r="10">
      <c r="A10" s="2" t="n">
        <v>9</v>
      </c>
      <c r="B10" s="2" t="inlineStr">
        <is>
          <t>Power</t>
        </is>
      </c>
      <c r="C10" s="2" t="inlineStr">
        <is>
          <t>BT1</t>
        </is>
      </c>
      <c r="D10" s="2" t="inlineStr">
        <is>
          <t>18650 Li-ion Samsung INR18650-25R 2500 mAh, 20 A</t>
        </is>
      </c>
      <c r="E10" s="2" t="n">
        <v>1</v>
      </c>
      <c r="F10" s="2" t="n">
        <v>418</v>
      </c>
      <c r="G10" s="2">
        <f>E10*F10</f>
        <v/>
      </c>
      <c r="H10" s="2" t="inlineStr">
        <is>
          <t>yes</t>
        </is>
      </c>
      <c r="I10" s="2" t="inlineStr">
        <is>
          <t>Robu</t>
        </is>
      </c>
      <c r="J10" s="3" t="inlineStr">
        <is>
          <t>https://aws.robu.in/?p=63398</t>
        </is>
      </c>
      <c r="K10" s="2" t="inlineStr">
        <is>
          <t>Ask the shop to spot-weld nickel tabs (or buy a tabbed cell). Never solder directly onto a cell.</t>
        </is>
      </c>
    </row>
    <row r="11">
      <c r="A11" s="2" t="n">
        <v>10</v>
      </c>
      <c r="B11" s="2" t="inlineStr">
        <is>
          <t>Power</t>
        </is>
      </c>
      <c r="C11" s="2" t="inlineStr">
        <is>
          <t>SW1</t>
        </is>
      </c>
      <c r="D11" s="2" t="inlineStr">
        <is>
          <t>KCD11 mini rocker switch 2-pin (15 x 10 mm, 13 x 8.7 mm cut-out)</t>
        </is>
      </c>
      <c r="E11" s="2" t="n">
        <v>1</v>
      </c>
      <c r="F11" s="2" t="n">
        <v>15</v>
      </c>
      <c r="G11" s="2">
        <f>E11*F11</f>
        <v/>
      </c>
      <c r="H11" s="2" t="inlineStr">
        <is>
          <t>approx.</t>
        </is>
      </c>
      <c r="I11" s="2" t="inlineStr">
        <is>
          <t>Robu</t>
        </is>
      </c>
      <c r="J11" s="3" t="inlineStr">
        <is>
          <t>https://robu.in/?s=KCD11+rocker+switch</t>
        </is>
      </c>
      <c r="K11" s="2" t="inlineStr">
        <is>
          <t>Main power switch in the end cap.</t>
        </is>
      </c>
    </row>
    <row r="12">
      <c r="A12" s="2" t="n">
        <v>11</v>
      </c>
      <c r="B12" s="2" t="inlineStr">
        <is>
          <t>Power</t>
        </is>
      </c>
      <c r="C12" s="2" t="inlineStr">
        <is>
          <t>F1</t>
        </is>
      </c>
      <c r="D12" s="2" t="inlineStr">
        <is>
          <t>PTC resettable fuse 3 A hold, radial (MF-R300 / RXEF300)</t>
        </is>
      </c>
      <c r="E12" s="2" t="n">
        <v>1</v>
      </c>
      <c r="F12" s="2" t="n">
        <v>15</v>
      </c>
      <c r="G12" s="2">
        <f>E12*F12</f>
        <v/>
      </c>
      <c r="H12" s="2" t="inlineStr">
        <is>
          <t>approx.</t>
        </is>
      </c>
      <c r="I12" s="2" t="inlineStr">
        <is>
          <t>Robu</t>
        </is>
      </c>
      <c r="J12" s="3" t="inlineStr">
        <is>
          <t>https://robu.in/?s=MF-R300</t>
        </is>
      </c>
      <c r="K12" s="2" t="inlineStr"/>
    </row>
    <row r="13">
      <c r="A13" s="2" t="n">
        <v>12</v>
      </c>
      <c r="B13" s="2" t="inlineStr">
        <is>
          <t>Power</t>
        </is>
      </c>
      <c r="C13" s="2" t="inlineStr">
        <is>
          <t>D1</t>
        </is>
      </c>
      <c r="D13" s="2" t="inlineStr">
        <is>
          <t>1N5819 Schottky diode 1 A 40 V</t>
        </is>
      </c>
      <c r="E13" s="2" t="n">
        <v>1</v>
      </c>
      <c r="F13" s="2" t="n">
        <v>3</v>
      </c>
      <c r="G13" s="2">
        <f>E13*F13</f>
        <v/>
      </c>
      <c r="H13" s="2" t="inlineStr">
        <is>
          <t>approx.</t>
        </is>
      </c>
      <c r="I13" s="2" t="inlineStr">
        <is>
          <t>Robu</t>
        </is>
      </c>
      <c r="J13" s="3" t="inlineStr">
        <is>
          <t>https://robu.in/?s=1N5819</t>
        </is>
      </c>
      <c r="K13" s="2" t="inlineStr">
        <is>
          <t>Stripe = cathode.</t>
        </is>
      </c>
    </row>
    <row r="14">
      <c r="A14" s="2" t="n">
        <v>13</v>
      </c>
      <c r="B14" s="2" t="inlineStr">
        <is>
          <t>Power</t>
        </is>
      </c>
      <c r="C14" s="2" t="inlineStr">
        <is>
          <t>C2, C4</t>
        </is>
      </c>
      <c r="D14" s="2" t="inlineStr">
        <is>
          <t>220 uF 25 V electrolytic (8 x 12 mm, low-ESR)</t>
        </is>
      </c>
      <c r="E14" s="2" t="n">
        <v>2</v>
      </c>
      <c r="F14" s="2" t="n">
        <v>8</v>
      </c>
      <c r="G14" s="2">
        <f>E14*F14</f>
        <v/>
      </c>
      <c r="H14" s="2" t="inlineStr">
        <is>
          <t>approx.</t>
        </is>
      </c>
      <c r="I14" s="2" t="inlineStr">
        <is>
          <t>Robu</t>
        </is>
      </c>
      <c r="J14" s="3" t="inlineStr">
        <is>
          <t>https://robu.in/?s=220uF+25V+capacitor</t>
        </is>
      </c>
      <c r="K14" s="2" t="inlineStr">
        <is>
          <t>One soldered at each Mini's power terminal. Stripe = minus.</t>
        </is>
      </c>
    </row>
    <row r="15">
      <c r="A15" s="2" t="n">
        <v>14</v>
      </c>
      <c r="B15" s="2" t="inlineStr">
        <is>
          <t>Power</t>
        </is>
      </c>
      <c r="C15" s="2" t="inlineStr">
        <is>
          <t>C3</t>
        </is>
      </c>
      <c r="D15" s="2" t="inlineStr">
        <is>
          <t>100 uF 10 V (or 16 V / 25 V) electrolytic</t>
        </is>
      </c>
      <c r="E15" s="2" t="n">
        <v>1</v>
      </c>
      <c r="F15" s="2" t="n">
        <v>5</v>
      </c>
      <c r="G15" s="2">
        <f>E15*F15</f>
        <v/>
      </c>
      <c r="H15" s="2" t="inlineStr">
        <is>
          <t>approx.</t>
        </is>
      </c>
      <c r="I15" s="2" t="inlineStr">
        <is>
          <t>Robu</t>
        </is>
      </c>
      <c r="J15" s="3" t="inlineStr">
        <is>
          <t>https://robu.in/?s=100uF+16V+capacitor</t>
        </is>
      </c>
      <c r="K15" s="2" t="inlineStr">
        <is>
          <t>At the TPS61088 input.</t>
        </is>
      </c>
    </row>
    <row r="16">
      <c r="A16" s="2" t="n">
        <v>15</v>
      </c>
      <c r="B16" s="2" t="inlineStr">
        <is>
          <t>Passives</t>
        </is>
      </c>
      <c r="C16" s="2" t="inlineStr">
        <is>
          <t>R1, R2, R3</t>
        </is>
      </c>
      <c r="D16" s="2" t="inlineStr">
        <is>
          <t>Resistor 100 kOhm 1/4 W (brown-black-yellow)</t>
        </is>
      </c>
      <c r="E16" s="2" t="n">
        <v>3</v>
      </c>
      <c r="F16" s="2" t="n">
        <v>1</v>
      </c>
      <c r="G16" s="2">
        <f>E16*F16</f>
        <v/>
      </c>
      <c r="H16" s="2" t="inlineStr">
        <is>
          <t>approx.</t>
        </is>
      </c>
      <c r="I16" s="2" t="inlineStr">
        <is>
          <t>Robu</t>
        </is>
      </c>
      <c r="J16" s="3" t="inlineStr">
        <is>
          <t>https://robu.in/?s=100k+resistor</t>
        </is>
      </c>
      <c r="K16" s="2" t="inlineStr"/>
    </row>
    <row r="17">
      <c r="A17" s="2" t="n">
        <v>16</v>
      </c>
      <c r="B17" s="2" t="inlineStr">
        <is>
          <t>Passives</t>
        </is>
      </c>
      <c r="C17" s="2" t="inlineStr">
        <is>
          <t>R4</t>
        </is>
      </c>
      <c r="D17" s="2" t="inlineStr">
        <is>
          <t>Resistor 10 kOhm 1/4 W (brown-black-orange)</t>
        </is>
      </c>
      <c r="E17" s="2" t="n">
        <v>1</v>
      </c>
      <c r="F17" s="2" t="n">
        <v>1</v>
      </c>
      <c r="G17" s="2">
        <f>E17*F17</f>
        <v/>
      </c>
      <c r="H17" s="2" t="inlineStr">
        <is>
          <t>approx.</t>
        </is>
      </c>
      <c r="I17" s="2" t="inlineStr">
        <is>
          <t>Robu</t>
        </is>
      </c>
      <c r="J17" s="3" t="inlineStr">
        <is>
          <t>https://robu.in/?s=10k+resistor</t>
        </is>
      </c>
      <c r="K17" s="2" t="inlineStr"/>
    </row>
    <row r="18">
      <c r="A18" s="2" t="n">
        <v>17</v>
      </c>
      <c r="B18" s="2" t="inlineStr">
        <is>
          <t>Passives</t>
        </is>
      </c>
      <c r="C18" s="2" t="inlineStr">
        <is>
          <t>R5-R8</t>
        </is>
      </c>
      <c r="D18" s="2" t="inlineStr">
        <is>
          <t>Resistor 4.7 kOhm 1/4 W (yellow-violet-red)</t>
        </is>
      </c>
      <c r="E18" s="2" t="n">
        <v>4</v>
      </c>
      <c r="F18" s="2" t="n">
        <v>1</v>
      </c>
      <c r="G18" s="2">
        <f>E18*F18</f>
        <v/>
      </c>
      <c r="H18" s="2" t="inlineStr">
        <is>
          <t>approx.</t>
        </is>
      </c>
      <c r="I18" s="2" t="inlineStr">
        <is>
          <t>Robu</t>
        </is>
      </c>
      <c r="J18" s="3" t="inlineStr">
        <is>
          <t>https://robu.in/?s=4.7k+resistor</t>
        </is>
      </c>
      <c r="K18" s="2" t="inlineStr">
        <is>
          <t>I2C pull-ups to 3.3 V.</t>
        </is>
      </c>
    </row>
    <row r="19">
      <c r="A19" s="2" t="n">
        <v>18</v>
      </c>
      <c r="B19" s="2" t="inlineStr">
        <is>
          <t>Passives</t>
        </is>
      </c>
      <c r="C19" s="2" t="inlineStr">
        <is>
          <t>R9</t>
        </is>
      </c>
      <c r="D19" s="2" t="inlineStr">
        <is>
          <t>Resistor 330 Ohm 1/4 W (orange-orange-brown)</t>
        </is>
      </c>
      <c r="E19" s="2" t="n">
        <v>1</v>
      </c>
      <c r="F19" s="2" t="n">
        <v>1</v>
      </c>
      <c r="G19" s="2">
        <f>E19*F19</f>
        <v/>
      </c>
      <c r="H19" s="2" t="inlineStr">
        <is>
          <t>approx.</t>
        </is>
      </c>
      <c r="I19" s="2" t="inlineStr">
        <is>
          <t>Robu</t>
        </is>
      </c>
      <c r="J19" s="3" t="inlineStr">
        <is>
          <t>https://robu.in/?s=330+ohm+resistor</t>
        </is>
      </c>
      <c r="K19" s="2" t="inlineStr">
        <is>
          <t>Status LED.</t>
        </is>
      </c>
    </row>
    <row r="20">
      <c r="A20" s="2" t="n">
        <v>19</v>
      </c>
      <c r="B20" s="2" t="inlineStr">
        <is>
          <t>Passives</t>
        </is>
      </c>
      <c r="C20" s="2" t="inlineStr">
        <is>
          <t>C1</t>
        </is>
      </c>
      <c r="D20" s="2" t="inlineStr">
        <is>
          <t>Ceramic capacitor 10 nF (marked 103)</t>
        </is>
      </c>
      <c r="E20" s="2" t="n">
        <v>1</v>
      </c>
      <c r="F20" s="2" t="n">
        <v>2</v>
      </c>
      <c r="G20" s="2">
        <f>E20*F20</f>
        <v/>
      </c>
      <c r="H20" s="2" t="inlineStr">
        <is>
          <t>approx.</t>
        </is>
      </c>
      <c r="I20" s="2" t="inlineStr">
        <is>
          <t>Robu</t>
        </is>
      </c>
      <c r="J20" s="3" t="inlineStr">
        <is>
          <t>https://robu.in/?s=10nF+ceramic+capacitor</t>
        </is>
      </c>
      <c r="K20" s="2" t="inlineStr"/>
    </row>
    <row r="21">
      <c r="A21" s="2" t="n">
        <v>20</v>
      </c>
      <c r="B21" s="2" t="inlineStr">
        <is>
          <t>UI</t>
        </is>
      </c>
      <c r="C21" s="2" t="inlineStr">
        <is>
          <t>LED1</t>
        </is>
      </c>
      <c r="D21" s="2" t="inlineStr">
        <is>
          <t>LED 3 mm, green, diffused</t>
        </is>
      </c>
      <c r="E21" s="2" t="n">
        <v>1</v>
      </c>
      <c r="F21" s="2" t="n">
        <v>2</v>
      </c>
      <c r="G21" s="2">
        <f>E21*F21</f>
        <v/>
      </c>
      <c r="H21" s="2" t="inlineStr">
        <is>
          <t>approx.</t>
        </is>
      </c>
      <c r="I21" s="2" t="inlineStr">
        <is>
          <t>Robu</t>
        </is>
      </c>
      <c r="J21" s="3" t="inlineStr">
        <is>
          <t>https://robu.in/?s=3mm+green+LED</t>
        </is>
      </c>
      <c r="K21" s="2" t="inlineStr">
        <is>
          <t>Long leg = anode (+).</t>
        </is>
      </c>
    </row>
    <row r="22">
      <c r="A22" s="2" t="n">
        <v>21</v>
      </c>
      <c r="B22" s="2" t="inlineStr">
        <is>
          <t>UI</t>
        </is>
      </c>
      <c r="C22" s="2" t="inlineStr">
        <is>
          <t>SW2</t>
        </is>
      </c>
      <c r="D22" s="2" t="inlineStr">
        <is>
          <t>Tactile switch 6 x 6 mm, 5 mm tall</t>
        </is>
      </c>
      <c r="E22" s="2" t="n">
        <v>1</v>
      </c>
      <c r="F22" s="2" t="n">
        <v>2</v>
      </c>
      <c r="G22" s="2">
        <f>E22*F22</f>
        <v/>
      </c>
      <c r="H22" s="2" t="inlineStr">
        <is>
          <t>approx.</t>
        </is>
      </c>
      <c r="I22" s="2" t="inlineStr">
        <is>
          <t>Robu</t>
        </is>
      </c>
      <c r="J22" s="3" t="inlineStr">
        <is>
          <t>https://robu.in/?s=6x6x5+tactile+switch</t>
        </is>
      </c>
      <c r="K22" s="2" t="inlineStr"/>
    </row>
    <row r="23">
      <c r="A23" s="2" t="n">
        <v>22</v>
      </c>
      <c r="B23" s="2" t="inlineStr">
        <is>
          <t>Build</t>
        </is>
      </c>
      <c r="C23" s="2" t="inlineStr">
        <is>
          <t>-</t>
        </is>
      </c>
      <c r="D23" s="2" t="inlineStr">
        <is>
          <t>Perfboard 30 x 20 mm (cut from a larger board)</t>
        </is>
      </c>
      <c r="E23" s="2" t="n">
        <v>1</v>
      </c>
      <c r="F23" s="2" t="n">
        <v>30</v>
      </c>
      <c r="G23" s="2">
        <f>E23*F23</f>
        <v/>
      </c>
      <c r="H23" s="2" t="inlineStr">
        <is>
          <t>approx.</t>
        </is>
      </c>
      <c r="I23" s="2" t="inlineStr">
        <is>
          <t>Robu</t>
        </is>
      </c>
      <c r="J23" s="3" t="inlineStr">
        <is>
          <t>https://robu.in/?s=perfboard</t>
        </is>
      </c>
      <c r="K23" s="2" t="inlineStr">
        <is>
          <t>Carries R1, R2, C1, R4-R9 and D1 (see PROJECT_GUIDE_EXPLAINED.txt, perfboard drawing).</t>
        </is>
      </c>
    </row>
    <row r="24">
      <c r="A24" s="2" t="n">
        <v>23</v>
      </c>
      <c r="B24" s="2" t="inlineStr">
        <is>
          <t>Build</t>
        </is>
      </c>
      <c r="C24" s="2" t="inlineStr">
        <is>
          <t>-</t>
        </is>
      </c>
      <c r="D24" s="2" t="inlineStr">
        <is>
          <t>M2 brass heat-set inserts, 4 mm long (pack of 10)</t>
        </is>
      </c>
      <c r="E24" s="2" t="n">
        <v>1</v>
      </c>
      <c r="F24" s="2" t="n">
        <v>26</v>
      </c>
      <c r="G24" s="2">
        <f>E24*F24</f>
        <v/>
      </c>
      <c r="H24" s="2" t="inlineStr">
        <is>
          <t>yes</t>
        </is>
      </c>
      <c r="I24" s="2" t="inlineStr">
        <is>
          <t>Robu</t>
        </is>
      </c>
      <c r="J24" s="3" t="inlineStr">
        <is>
          <t>https://aws.robu.in/?p=2309235</t>
        </is>
      </c>
      <c r="K24" s="2" t="inlineStr">
        <is>
          <t>Needs 8.</t>
        </is>
      </c>
    </row>
    <row r="25">
      <c r="A25" s="2" t="n">
        <v>24</v>
      </c>
      <c r="B25" s="2" t="inlineStr">
        <is>
          <t>Build</t>
        </is>
      </c>
      <c r="C25" s="2" t="inlineStr">
        <is>
          <t>-</t>
        </is>
      </c>
      <c r="D25" s="2" t="inlineStr">
        <is>
          <t>M2 screws: 8 x M2x14 (shells, into the inserts) + 6 x M2x8 (end cap, motor mount plate); assortment box</t>
        </is>
      </c>
      <c r="E25" s="2" t="n">
        <v>1</v>
      </c>
      <c r="F25" s="2" t="n">
        <v>120</v>
      </c>
      <c r="G25" s="2">
        <f>E25*F25</f>
        <v/>
      </c>
      <c r="H25" s="2" t="inlineStr">
        <is>
          <t>approx.</t>
        </is>
      </c>
      <c r="I25" s="2" t="inlineStr">
        <is>
          <t>Robu / Amazon.in</t>
        </is>
      </c>
      <c r="J25" s="3" t="inlineStr">
        <is>
          <t>https://www.amazon.in/s?k=M2+screw+assortment+box</t>
        </is>
      </c>
      <c r="K25" s="2" t="inlineStr">
        <is>
          <t>Motor screws: use the ones supplied with the motors (slots take M2, M2.5 or M3; max 3 mm into the motor).</t>
        </is>
      </c>
    </row>
    <row r="26">
      <c r="A26" s="2" t="n">
        <v>25</v>
      </c>
      <c r="B26" s="2" t="inlineStr">
        <is>
          <t>Build</t>
        </is>
      </c>
      <c r="C26" s="2" t="inlineStr">
        <is>
          <t>-</t>
        </is>
      </c>
      <c r="D26" s="2" t="inlineStr">
        <is>
          <t>M3 x 6 nylon-tip thumb screw (spoon shank clamp)</t>
        </is>
      </c>
      <c r="E26" s="2" t="n">
        <v>1</v>
      </c>
      <c r="F26" s="2" t="n">
        <v>20</v>
      </c>
      <c r="G26" s="2">
        <f>E26*F26</f>
        <v/>
      </c>
      <c r="H26" s="2" t="inlineStr">
        <is>
          <t>approx.</t>
        </is>
      </c>
      <c r="I26" s="2" t="inlineStr">
        <is>
          <t>Amazon.in</t>
        </is>
      </c>
      <c r="J26" s="3" t="inlineStr">
        <is>
          <t>https://www.amazon.in/s?k=M3+thumb+screw+nylon</t>
        </is>
      </c>
      <c r="K26" s="2" t="inlineStr">
        <is>
          <t>Or a plain M3 screw with a nylon washer.</t>
        </is>
      </c>
    </row>
    <row r="27">
      <c r="A27" s="2" t="n">
        <v>26</v>
      </c>
      <c r="B27" s="2" t="inlineStr">
        <is>
          <t>Build</t>
        </is>
      </c>
      <c r="C27" s="2" t="inlineStr">
        <is>
          <t>-</t>
        </is>
      </c>
      <c r="D27" s="2" t="inlineStr">
        <is>
          <t>Silicone wire 24 AWG (red/black), 26 AWG, 30 AWG; heat-shrink; double-sided foam tape</t>
        </is>
      </c>
      <c r="E27" s="2" t="n">
        <v>1</v>
      </c>
      <c r="F27" s="2" t="n">
        <v>220</v>
      </c>
      <c r="G27" s="2">
        <f>E27*F27</f>
        <v/>
      </c>
      <c r="H27" s="2" t="inlineStr">
        <is>
          <t>approx.</t>
        </is>
      </c>
      <c r="I27" s="2" t="inlineStr">
        <is>
          <t>Robu / Amazon.in</t>
        </is>
      </c>
      <c r="J27" s="3" t="inlineStr">
        <is>
          <t>https://www.amazon.in/s?k=silicone+wire+24AWG</t>
        </is>
      </c>
      <c r="K27" s="2" t="inlineStr">
        <is>
          <t>24 AWG for the battery path, see wiring_table.csv.</t>
        </is>
      </c>
    </row>
    <row r="28">
      <c r="A28" s="2" t="n">
        <v>27</v>
      </c>
      <c r="B28" s="2" t="inlineStr">
        <is>
          <t>Mechanical</t>
        </is>
      </c>
      <c r="C28" s="2" t="inlineStr">
        <is>
          <t>-</t>
        </is>
      </c>
      <c r="D28" s="2" t="inlineStr">
        <is>
          <t>Stainless steel teaspoon (bowl + 25 mm of shank kept)</t>
        </is>
      </c>
      <c r="E28" s="2" t="n">
        <v>1</v>
      </c>
      <c r="F28" s="2" t="n">
        <v>50</v>
      </c>
      <c r="G28" s="2">
        <f>E28*F28</f>
        <v/>
      </c>
      <c r="H28" s="2" t="inlineStr">
        <is>
          <t>approx.</t>
        </is>
      </c>
      <c r="I28" s="2" t="inlineStr">
        <is>
          <t>Local</t>
        </is>
      </c>
      <c r="J28" s="2" t="inlineStr"/>
      <c r="K28" s="2" t="inlineStr">
        <is>
          <t>Cut the handle, file the shank to 6.0 x 2.5 mm.</t>
        </is>
      </c>
    </row>
    <row r="29">
      <c r="A29" s="2" t="n">
        <v>28</v>
      </c>
      <c r="B29" s="2" t="inlineStr">
        <is>
          <t>Mechanical</t>
        </is>
      </c>
      <c r="C29" s="2" t="inlineStr">
        <is>
          <t>-</t>
        </is>
      </c>
      <c r="D29" s="2" t="inlineStr">
        <is>
          <t>PETG filament ~150 g (shells, sled, caps); TPU ~5 g (button)</t>
        </is>
      </c>
      <c r="E29" s="2" t="n">
        <v>1</v>
      </c>
      <c r="F29" s="2" t="n">
        <v>250</v>
      </c>
      <c r="G29" s="2">
        <f>E29*F29</f>
        <v/>
      </c>
      <c r="H29" s="2" t="inlineStr">
        <is>
          <t>approx.</t>
        </is>
      </c>
      <c r="I29" s="2" t="inlineStr">
        <is>
          <t>Robu / Amazon.in</t>
        </is>
      </c>
      <c r="J29" s="3" t="inlineStr">
        <is>
          <t>https://www.amazon.in/s?k=PETG+filament+1.75</t>
        </is>
      </c>
      <c r="K29" s="2" t="inlineStr">
        <is>
          <t>Or an online 3D-printing service (~Rs 600-900 for the set).</t>
        </is>
      </c>
    </row>
    <row r="30">
      <c r="A30" s="2" t="n">
        <v>29</v>
      </c>
      <c r="B30" s="2" t="inlineStr">
        <is>
          <t>Mechanical</t>
        </is>
      </c>
      <c r="C30" s="2" t="inlineStr">
        <is>
          <t>-</t>
        </is>
      </c>
      <c r="D30" s="2" t="inlineStr">
        <is>
          <t>Yaw bracket + arm hub: PA12 SLS print (recommended) or PETG 100 % infill</t>
        </is>
      </c>
      <c r="E30" s="2" t="n">
        <v>1</v>
      </c>
      <c r="F30" s="2" t="n">
        <v>400</v>
      </c>
      <c r="G30" s="2">
        <f>E30*F30</f>
        <v/>
      </c>
      <c r="H30" s="2" t="inlineStr">
        <is>
          <t>approx.</t>
        </is>
      </c>
      <c r="I30" s="2" t="inlineStr">
        <is>
          <t>Online print service</t>
        </is>
      </c>
      <c r="J30" s="2" t="inlineStr"/>
      <c r="K30" s="2" t="inlineStr">
        <is>
          <t>These carry the bowl; stiffness matters.</t>
        </is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inlineStr"/>
      <c r="B32" s="2" t="inlineStr"/>
      <c r="C32" s="2" t="inlineStr"/>
      <c r="D32" s="4" t="inlineStr">
        <is>
          <t>TOTAL (one spoon)</t>
        </is>
      </c>
      <c r="E32" s="2" t="inlineStr"/>
      <c r="F32" s="2" t="inlineStr"/>
      <c r="G32" s="4">
        <f>SUM(G2:G30)</f>
        <v/>
      </c>
      <c r="H32" s="2" t="n"/>
      <c r="I32" s="2" t="n"/>
      <c r="J32" s="2" t="n"/>
      <c r="K32" s="2" t="n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9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Prices are INR including GST from the listed Indian shops; 'yes' = seen on the listing on 23-24 Oct 2026, 'approx.' = typical price, check before ordering.</t>
        </is>
      </c>
    </row>
    <row r="2">
      <c r="A2" t="inlineStr">
        <is>
          <t>Strongly recommended spares (not in the total): 1 AS5600 with magnet, 1 SimpleFOC Mini, 1 TPS61088 (already 2 in the list), 1 Mini560.</t>
        </is>
      </c>
    </row>
    <row r="3">
      <c r="A3" t="inlineStr">
        <is>
          <t>The TPS61088 must be the solder-pad version (pads 5V/9V/12V, no USB socket). The QC fast-charge version with a USB-A socket will NOT work.</t>
        </is>
      </c>
    </row>
    <row r="4">
      <c r="A4" t="inlineStr">
        <is>
          <t>Tools: soldering iron (with a heat-set insert tip), multimeter (to check 12.0 V / 5.0 V and to measure the motor resistance), 3D printer or print service, small files, CA glue.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2026-10-24T18:36:44Z</dcterms:created>
  <dcterms:modified xmlns:dcterms="http://purl.org/dc/terms/" xmlns:xsi="http://www.w3.org/2001/XMLSchema-instance" xsi:type="dcterms:W3CDTF">2026-10-24T18:36:44Z</dcterms:modified>
</cp:coreProperties>
</file>